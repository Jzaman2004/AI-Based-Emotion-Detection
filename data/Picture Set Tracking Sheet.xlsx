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ummary Counts" sheetId="2" r:id="rId6"/>
  </sheets>
  <definedNames>
    <definedName hidden="1" localSheetId="0" name="_xlnm._FilterDatabase">'Raw Data'!$A$1:$I$72</definedName>
  </definedNames>
  <calcPr/>
</workbook>
</file>

<file path=xl/sharedStrings.xml><?xml version="1.0" encoding="utf-8"?>
<sst xmlns="http://schemas.openxmlformats.org/spreadsheetml/2006/main" count="663" uniqueCount="183">
  <si>
    <t>Picture ID</t>
  </si>
  <si>
    <t>Gender</t>
  </si>
  <si>
    <t>Race</t>
  </si>
  <si>
    <t>Ground Truth Emotion</t>
  </si>
  <si>
    <t>Original Filename</t>
  </si>
  <si>
    <t>Source Dataset</t>
  </si>
  <si>
    <t>Author</t>
  </si>
  <si>
    <t>License Type</t>
  </si>
  <si>
    <t>DOI or URL</t>
  </si>
  <si>
    <t>MCWS</t>
  </si>
  <si>
    <t>Male</t>
  </si>
  <si>
    <t>Caucasian White</t>
  </si>
  <si>
    <t>Sadness</t>
  </si>
  <si>
    <t>14d6240e-395b-43fb-91ea-3cfd0ce78b06_JPG.rf.d4879b6f683abd5cb22a286ab64f5f01.jpg</t>
  </si>
  <si>
    <t>9 Facial Expressions for YOLO</t>
  </si>
  <si>
    <t>Nazmus Sakib</t>
  </si>
  <si>
    <t>Apache 2.0</t>
  </si>
  <si>
    <t>https://doi.org/10.34740/kaggle/dsv/11495578</t>
  </si>
  <si>
    <t>FCWF</t>
  </si>
  <si>
    <t>Female</t>
  </si>
  <si>
    <t>Fear</t>
  </si>
  <si>
    <t>04a1c851-43a5-42bf-8960-4dfaa062454c_JPG.rf.ad334c16c1748130f00b1c84822a1c5a.jpg</t>
  </si>
  <si>
    <t>FEAD</t>
  </si>
  <si>
    <t>East Asian</t>
  </si>
  <si>
    <t>Disgust</t>
  </si>
  <si>
    <t>20231117_004308_jpg.rf.98fb8835a1e5b02aff3635a4283f8317.jpg</t>
  </si>
  <si>
    <t>FEAA</t>
  </si>
  <si>
    <t>Anger</t>
  </si>
  <si>
    <t>1000_F_131161468_WbfP9Rq6BqO5dXHk7z8btc1eCErt1tAN_jpg.rf.3d499677bc7d66e4d07b1e452d8baf22.jpg</t>
  </si>
  <si>
    <t>MCWA</t>
  </si>
  <si>
    <t>13675_jpg.rf.1f7b3d42b0d8980175a70cd8bcc27da2.jpg</t>
  </si>
  <si>
    <t>MCWF</t>
  </si>
  <si>
    <t>230_jpg.rf.76735b23bc55bdaa707517fe543d6d46.jpg</t>
  </si>
  <si>
    <t>MCWH</t>
  </si>
  <si>
    <t>Hate</t>
  </si>
  <si>
    <t>307_jpg.rf.ca379b9e1067587f142d0d816f47e8c9.jpg</t>
  </si>
  <si>
    <t>MBAH</t>
  </si>
  <si>
    <t>Black American</t>
  </si>
  <si>
    <t>3_jpg.rf.5f89743e2846973caaee6b9b7f74481d.jpg</t>
  </si>
  <si>
    <t>FBAJ</t>
  </si>
  <si>
    <t>Joy</t>
  </si>
  <si>
    <t>620_jpeg.rf.80e3eba37aa620c38013a34872db80c3.jpg</t>
  </si>
  <si>
    <t>MBAJ</t>
  </si>
  <si>
    <t>645_jpeg.rf.ebb962482cf0d4d626f60537b7b495fa.jpg</t>
  </si>
  <si>
    <t>MSAU</t>
  </si>
  <si>
    <t>South Asian</t>
  </si>
  <si>
    <t>Surprise</t>
  </si>
  <si>
    <t>IMG-20231001-WA0071_1_3_jpg.rf.c520cb62782f147949710f7bbb52ee15.jpg</t>
  </si>
  <si>
    <t>FCWU</t>
  </si>
  <si>
    <t>IMG_0203_PNG.rf.5f219f42ecfac9b14c2881ec37167506.jpg</t>
  </si>
  <si>
    <t>MCWU</t>
  </si>
  <si>
    <t>IMG_0435_PNG.rf.181b12053c9ff9ad24c5434a3b37c29e.jpg</t>
  </si>
  <si>
    <t>FCWS</t>
  </si>
  <si>
    <t>IMG_1396_PNG.rf.5a2a6b533e26d29b398cd9714401935f.jpg</t>
  </si>
  <si>
    <t>FCWA</t>
  </si>
  <si>
    <t>Screenshot-2024-05-24-at-17-03-06_png.rf.21b67694cd24bc580e74c580e6a2348d.jpg</t>
  </si>
  <si>
    <t>FCWD</t>
  </si>
  <si>
    <t>Screenshot-2024-05-27-at-16-35-33_png.rf.b502340c441ec2cbb72b20e22204d088.jpg</t>
  </si>
  <si>
    <t>MBAA</t>
  </si>
  <si>
    <t>download-20-_jpg.rf.c106fd9434c0cc7b7f2921ece9a18182.jpg</t>
  </si>
  <si>
    <t>MLTA</t>
  </si>
  <si>
    <t>Latino</t>
  </si>
  <si>
    <t>download-9-_jpg.rf.238694dd37f15f21c267827eb3cfd72c.jpg</t>
  </si>
  <si>
    <t>MEAF</t>
  </si>
  <si>
    <t>fearful_125_jpg.rf.807f27d258eddc53c155fe391cec8009.jpg</t>
  </si>
  <si>
    <t>FEAF</t>
  </si>
  <si>
    <t>fearful_37_JPG_jpg.rf.20dde8300d4d4d70a48de726481e93bf.jpg</t>
  </si>
  <si>
    <t>MEAS</t>
  </si>
  <si>
    <t>fearful_709_jpg.rf.37e657f5ccb26acf19656c484c964e2e.jpg</t>
  </si>
  <si>
    <t>FEAU</t>
  </si>
  <si>
    <t>fearful_79_jpg.rf.fdfa9f9d29d2f0115d8a45f361836a0f.jpg</t>
  </si>
  <si>
    <t>MLTJ</t>
  </si>
  <si>
    <t>ffhq_376_png_jpg.rf.2e500dfec967dc9a26833d0093ca631d.jpg</t>
  </si>
  <si>
    <t>FLTJ</t>
  </si>
  <si>
    <t>frame_1139_png_jpg.rf.cb8af16b2972759adc45a0abff6caab3.jpg</t>
  </si>
  <si>
    <t>MBAS</t>
  </si>
  <si>
    <t>image0000704_jpg.rf.b04dfa13ade9d8d3e3192e7e8b7a8cd3.jpg</t>
  </si>
  <si>
    <t>FLTH</t>
  </si>
  <si>
    <t>image0000965_jpg.rf.92dab3e21e6fdb9f8660d6a08e13b045.jpg</t>
  </si>
  <si>
    <t>MLTH</t>
  </si>
  <si>
    <t>image0001161_jpg.rf.eec826ac8b6bddb31465246c9ce2a153.jpg</t>
  </si>
  <si>
    <t>FLTD</t>
  </si>
  <si>
    <t>image0003138_jpg.rf.1dcdca02e7f93c7ab7b10a2dba406e5b.jpg</t>
  </si>
  <si>
    <t>MLTS</t>
  </si>
  <si>
    <t>image0003274_jpg.rf.d2786ef62da20b74396a2673a58f245c.jpg</t>
  </si>
  <si>
    <t>MBAU</t>
  </si>
  <si>
    <t>image0011730_jpg.rf.f2ea6a431df177852e0171e142dd01ab.jpg</t>
  </si>
  <si>
    <t>FBAS</t>
  </si>
  <si>
    <t>image0024088_jpg.rf.c14cd3760b30af6287b411fb74684538.jpg</t>
  </si>
  <si>
    <t>MCWD</t>
  </si>
  <si>
    <t>image0027671_jpg.rf.740c054bd8eb0617f8732d05082b29b5.jpg</t>
  </si>
  <si>
    <t>FCWJ</t>
  </si>
  <si>
    <t>image0034304_jpg.rf.a62e22bee1600a1d896ab8a8bd94631c.jpg</t>
  </si>
  <si>
    <t>MCWJ</t>
  </si>
  <si>
    <t>image0035271_jpg.rf.88b5bf7c9be1d00d7f0ef2df3a454215.jpg</t>
  </si>
  <si>
    <t>FBAH</t>
  </si>
  <si>
    <t>image0035011_jpg.rf.f35cd05f0140d1c70e98b05862abc1bc.jpg</t>
  </si>
  <si>
    <t>MLTU</t>
  </si>
  <si>
    <t>image0035444_jpg.rf.95914064672cd90d08512eaa2344493d.jpg</t>
  </si>
  <si>
    <t>FBAU</t>
  </si>
  <si>
    <t>image0036582_jpg.rf.7607a3ae1d991dbc4e7e453e94f4123f.jpg</t>
  </si>
  <si>
    <t>FEAJ</t>
  </si>
  <si>
    <t>image0037208_jpg.rf.be6dce365bf4a014b97133b7327626fd.jpg</t>
  </si>
  <si>
    <t>FCWH</t>
  </si>
  <si>
    <t>image0037400_jpg.rf.a50152dd083725f9f6b89a444d906fd7.jpg</t>
  </si>
  <si>
    <t>FBAD</t>
  </si>
  <si>
    <t>image0041066_jpg.rf.7eded47143b8c9a7bb01fa5b61ab5503.jpg</t>
  </si>
  <si>
    <t>MEAA</t>
  </si>
  <si>
    <t>images-11-_jpg.rf.6cba6e43004fdb412f25d5890329c564.jpg</t>
  </si>
  <si>
    <t>MBAD</t>
  </si>
  <si>
    <t>images-19-_jpg.rf.e6c3de10ecf64dbd1b68859ad9a1e31a.jpg</t>
  </si>
  <si>
    <t>FBAA</t>
  </si>
  <si>
    <t>indoor-shot-hateful-angry-african-american-young-woman-curly-hair-looking-under-forehead-anger-indoor-shot-150885697_jpg.rf.8edf3ce5b2f5e7548896412364ca341d.jpg</t>
  </si>
  <si>
    <t>MSAA</t>
  </si>
  <si>
    <t>rotated2024-11-19_16-21-43_anger_jpg.rf.52dcb176cfb3de4f301b90f79793d5a7.jpg</t>
  </si>
  <si>
    <t>MEAJ</t>
  </si>
  <si>
    <t>rotated3_2024-11-22_09-48-05_happy_jpg.rf.2dca9a82729ef01b9f3dd0618317583c.jpg</t>
  </si>
  <si>
    <t>FBAF</t>
  </si>
  <si>
    <t>Allyson_Felix_0005.jpg</t>
  </si>
  <si>
    <t>LFW - Facial Recognition</t>
  </si>
  <si>
    <t>Gary B Huang</t>
  </si>
  <si>
    <t>CC0: Public Domain licence</t>
  </si>
  <si>
    <t>https://www.kaggle.com/datasets/quadeer15sh/lfw-facial-recognition</t>
  </si>
  <si>
    <t>MBAF</t>
  </si>
  <si>
    <t>Ben_Wallace_0001.jpg</t>
  </si>
  <si>
    <t>MLTD</t>
  </si>
  <si>
    <t>Andy_Hebb_0001.jpg</t>
  </si>
  <si>
    <t>FLTF</t>
  </si>
  <si>
    <t>Angelica_Romero_0001.jpg</t>
  </si>
  <si>
    <t>FLTS</t>
  </si>
  <si>
    <t>102515436.png</t>
  </si>
  <si>
    <t>Human Face Emotions</t>
  </si>
  <si>
    <t>Samith Chimminiyan</t>
  </si>
  <si>
    <t>https://www.kaggle.com/datasets/samithsachidanandan/human-face-emotions</t>
  </si>
  <si>
    <t>FLTA</t>
  </si>
  <si>
    <t>10121.png</t>
  </si>
  <si>
    <t>FLTU</t>
  </si>
  <si>
    <t>10527.png</t>
  </si>
  <si>
    <t>MLTF</t>
  </si>
  <si>
    <t>11151_jpg.rf.bb7477f6052fd4b48f2668e6e4099f7f.jpg</t>
  </si>
  <si>
    <t>FEAH</t>
  </si>
  <si>
    <t>10415.png</t>
  </si>
  <si>
    <t>FEAS</t>
  </si>
  <si>
    <t>10128.png</t>
  </si>
  <si>
    <t>MEAH</t>
  </si>
  <si>
    <t>2024-11-21_16-22-20_anger_jpg.rf.caf318afe7cf3b7b80e59e08eac4c45f.jpg</t>
  </si>
  <si>
    <t>MEAD</t>
  </si>
  <si>
    <t>2024-11-21_12-22-06_anger_jpg.rf.1e3f13f9584ee8487cefd0b7595717a1.jpg</t>
  </si>
  <si>
    <t>MEAU</t>
  </si>
  <si>
    <t>2024-11-20_17-03-59_happy_jpg.rf.e78f49401219d34bbaa19f6df3b73ad1.jpg</t>
  </si>
  <si>
    <t>MSAF</t>
  </si>
  <si>
    <t>100.jpg</t>
  </si>
  <si>
    <t>Faces: Age Detection from Images</t>
  </si>
  <si>
    <t>Möbius</t>
  </si>
  <si>
    <t>https://www.kaggle.com/datasets/arashnic/faces-age-detection-dataset</t>
  </si>
  <si>
    <t>MSAJ</t>
  </si>
  <si>
    <t>1012.jpg</t>
  </si>
  <si>
    <t>MSAS</t>
  </si>
  <si>
    <t>10063.jpg</t>
  </si>
  <si>
    <t>MSAD</t>
  </si>
  <si>
    <t>10147.jpg</t>
  </si>
  <si>
    <t>MSAH</t>
  </si>
  <si>
    <t>10240.jpg</t>
  </si>
  <si>
    <t>FSAJ</t>
  </si>
  <si>
    <t>10001.jpg</t>
  </si>
  <si>
    <t>FSAS</t>
  </si>
  <si>
    <t>10067.jpg</t>
  </si>
  <si>
    <t>FSAA</t>
  </si>
  <si>
    <t>10182.jpg</t>
  </si>
  <si>
    <t>FSAF</t>
  </si>
  <si>
    <t>10043.jpg</t>
  </si>
  <si>
    <t>FSAD</t>
  </si>
  <si>
    <t>10100.jpg</t>
  </si>
  <si>
    <t>FSAU</t>
  </si>
  <si>
    <t>10175.jpg</t>
  </si>
  <si>
    <t>FSAH</t>
  </si>
  <si>
    <t>10109.jpg</t>
  </si>
  <si>
    <t>Counts</t>
  </si>
  <si>
    <t>Counts 2</t>
  </si>
  <si>
    <t>Counts 3</t>
  </si>
  <si>
    <t>License</t>
  </si>
  <si>
    <t>Counts 4</t>
  </si>
  <si>
    <t>CC0: Public Domain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</si>
</sst>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7C3"/>
          <bgColor rgb="FFF4C7C3"/>
        </patternFill>
      </fill>
      <border/>
    </dxf>
  </dxfs>
  <tableStyles count="2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 Cou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2" displayName="Picture_Set_Tracking_Sheet" name="Picture_Set_Tracking_Sheet" id="1">
  <autoFilter ref="$A$1:$I$72"/>
  <tableColumns count="9">
    <tableColumn name="Picture ID" id="1"/>
    <tableColumn name="Gender" id="2"/>
    <tableColumn name="Race" id="3"/>
    <tableColumn name="Ground Truth Emotion" id="4"/>
    <tableColumn name="Original Filename" id="5"/>
    <tableColumn name="Source Dataset" id="6"/>
    <tableColumn name="Author" id="7"/>
    <tableColumn name="License Type" id="8"/>
    <tableColumn name="DOI or URL" id="9"/>
  </tableColumns>
  <tableStyleInfo name="Raw Data-style" showColumnStripes="0" showFirstColumn="1" showLastColumn="1" showRowStripes="1"/>
</table>
</file>

<file path=xl/tables/table2.xml><?xml version="1.0" encoding="utf-8"?>
<table xmlns="http://schemas.openxmlformats.org/spreadsheetml/2006/main" ref="A1:H8" displayName="Summary_Counts" name="Summary_Counts" id="2">
  <tableColumns count="8">
    <tableColumn name="Gender" id="1"/>
    <tableColumn name="Counts" id="2"/>
    <tableColumn name="Race" id="3"/>
    <tableColumn name="Counts 2" id="4"/>
    <tableColumn name="Ground Truth Emotion" id="5"/>
    <tableColumn name="Counts 3" id="6"/>
    <tableColumn name="License" id="7"/>
    <tableColumn name="Counts 4" id="8"/>
  </tableColumns>
  <tableStyleInfo name="Summary Cou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34740/kaggle/dsv/11495578" TargetMode="External"/><Relationship Id="rId42" Type="http://schemas.openxmlformats.org/officeDocument/2006/relationships/hyperlink" Target="https://doi.org/10.34740/kaggle/dsv/11495578" TargetMode="External"/><Relationship Id="rId41" Type="http://schemas.openxmlformats.org/officeDocument/2006/relationships/hyperlink" Target="https://doi.org/10.34740/kaggle/dsv/11495578" TargetMode="External"/><Relationship Id="rId44" Type="http://schemas.openxmlformats.org/officeDocument/2006/relationships/hyperlink" Target="https://doi.org/10.34740/kaggle/dsv/11495578" TargetMode="External"/><Relationship Id="rId43" Type="http://schemas.openxmlformats.org/officeDocument/2006/relationships/hyperlink" Target="https://doi.org/10.34740/kaggle/dsv/11495578" TargetMode="External"/><Relationship Id="rId46" Type="http://schemas.openxmlformats.org/officeDocument/2006/relationships/hyperlink" Target="https://www.kaggle.com/datasets/quadeer15sh/lfw-facial-recognition" TargetMode="External"/><Relationship Id="rId45" Type="http://schemas.openxmlformats.org/officeDocument/2006/relationships/hyperlink" Target="https://doi.org/10.34740/kaggle/dsv/11495578" TargetMode="External"/><Relationship Id="rId1" Type="http://schemas.openxmlformats.org/officeDocument/2006/relationships/hyperlink" Target="https://doi.org/10.34740/kaggle/dsv/11495578" TargetMode="External"/><Relationship Id="rId2" Type="http://schemas.openxmlformats.org/officeDocument/2006/relationships/hyperlink" Target="https://doi.org/10.34740/kaggle/dsv/11495578" TargetMode="External"/><Relationship Id="rId3" Type="http://schemas.openxmlformats.org/officeDocument/2006/relationships/hyperlink" Target="https://doi.org/10.34740/kaggle/dsv/11495578" TargetMode="External"/><Relationship Id="rId4" Type="http://schemas.openxmlformats.org/officeDocument/2006/relationships/hyperlink" Target="https://doi.org/10.34740/kaggle/dsv/11495578" TargetMode="External"/><Relationship Id="rId9" Type="http://schemas.openxmlformats.org/officeDocument/2006/relationships/hyperlink" Target="https://doi.org/10.34740/kaggle/dsv/11495578" TargetMode="External"/><Relationship Id="rId48" Type="http://schemas.openxmlformats.org/officeDocument/2006/relationships/hyperlink" Target="https://www.kaggle.com/datasets/quadeer15sh/lfw-facial-recognition" TargetMode="External"/><Relationship Id="rId47" Type="http://schemas.openxmlformats.org/officeDocument/2006/relationships/hyperlink" Target="https://www.kaggle.com/datasets/quadeer15sh/lfw-facial-recognition" TargetMode="External"/><Relationship Id="rId49" Type="http://schemas.openxmlformats.org/officeDocument/2006/relationships/hyperlink" Target="https://www.kaggle.com/datasets/quadeer15sh/lfw-facial-recognition" TargetMode="External"/><Relationship Id="rId5" Type="http://schemas.openxmlformats.org/officeDocument/2006/relationships/hyperlink" Target="https://doi.org/10.34740/kaggle/dsv/11495578" TargetMode="External"/><Relationship Id="rId6" Type="http://schemas.openxmlformats.org/officeDocument/2006/relationships/hyperlink" Target="https://doi.org/10.34740/kaggle/dsv/11495578" TargetMode="External"/><Relationship Id="rId7" Type="http://schemas.openxmlformats.org/officeDocument/2006/relationships/hyperlink" Target="https://doi.org/10.34740/kaggle/dsv/11495578" TargetMode="External"/><Relationship Id="rId8" Type="http://schemas.openxmlformats.org/officeDocument/2006/relationships/hyperlink" Target="https://doi.org/10.34740/kaggle/dsv/11495578" TargetMode="External"/><Relationship Id="rId73" Type="http://schemas.openxmlformats.org/officeDocument/2006/relationships/table" Target="../tables/table1.xml"/><Relationship Id="rId31" Type="http://schemas.openxmlformats.org/officeDocument/2006/relationships/hyperlink" Target="https://doi.org/10.34740/kaggle/dsv/11495578" TargetMode="External"/><Relationship Id="rId30" Type="http://schemas.openxmlformats.org/officeDocument/2006/relationships/hyperlink" Target="https://doi.org/10.34740/kaggle/dsv/11495578" TargetMode="External"/><Relationship Id="rId33" Type="http://schemas.openxmlformats.org/officeDocument/2006/relationships/hyperlink" Target="https://doi.org/10.34740/kaggle/dsv/11495578" TargetMode="External"/><Relationship Id="rId32" Type="http://schemas.openxmlformats.org/officeDocument/2006/relationships/hyperlink" Target="https://doi.org/10.34740/kaggle/dsv/11495578" TargetMode="External"/><Relationship Id="rId35" Type="http://schemas.openxmlformats.org/officeDocument/2006/relationships/hyperlink" Target="https://doi.org/10.34740/kaggle/dsv/11495578" TargetMode="External"/><Relationship Id="rId34" Type="http://schemas.openxmlformats.org/officeDocument/2006/relationships/hyperlink" Target="https://doi.org/10.34740/kaggle/dsv/11495578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www.kaggle.com/datasets/arashnic/faces-age-detection-dataset" TargetMode="External"/><Relationship Id="rId37" Type="http://schemas.openxmlformats.org/officeDocument/2006/relationships/hyperlink" Target="https://doi.org/10.34740/kaggle/dsv/11495578" TargetMode="External"/><Relationship Id="rId36" Type="http://schemas.openxmlformats.org/officeDocument/2006/relationships/hyperlink" Target="https://doi.org/10.34740/kaggle/dsv/11495578" TargetMode="External"/><Relationship Id="rId39" Type="http://schemas.openxmlformats.org/officeDocument/2006/relationships/hyperlink" Target="https://doi.org/10.34740/kaggle/dsv/11495578" TargetMode="External"/><Relationship Id="rId38" Type="http://schemas.openxmlformats.org/officeDocument/2006/relationships/hyperlink" Target="https://doi.org/10.34740/kaggle/dsv/11495578" TargetMode="External"/><Relationship Id="rId62" Type="http://schemas.openxmlformats.org/officeDocument/2006/relationships/hyperlink" Target="https://www.kaggle.com/datasets/arashnic/faces-age-detection-dataset" TargetMode="External"/><Relationship Id="rId61" Type="http://schemas.openxmlformats.org/officeDocument/2006/relationships/hyperlink" Target="https://www.kaggle.com/datasets/arashnic/faces-age-detection-dataset" TargetMode="External"/><Relationship Id="rId20" Type="http://schemas.openxmlformats.org/officeDocument/2006/relationships/hyperlink" Target="https://doi.org/10.34740/kaggle/dsv/11495578" TargetMode="External"/><Relationship Id="rId64" Type="http://schemas.openxmlformats.org/officeDocument/2006/relationships/hyperlink" Target="https://www.kaggle.com/datasets/arashnic/faces-age-detection-dataset" TargetMode="External"/><Relationship Id="rId63" Type="http://schemas.openxmlformats.org/officeDocument/2006/relationships/hyperlink" Target="https://www.kaggle.com/datasets/arashnic/faces-age-detection-dataset" TargetMode="External"/><Relationship Id="rId22" Type="http://schemas.openxmlformats.org/officeDocument/2006/relationships/hyperlink" Target="https://doi.org/10.34740/kaggle/dsv/11495578" TargetMode="External"/><Relationship Id="rId66" Type="http://schemas.openxmlformats.org/officeDocument/2006/relationships/hyperlink" Target="https://www.kaggle.com/datasets/arashnic/faces-age-detection-dataset" TargetMode="External"/><Relationship Id="rId21" Type="http://schemas.openxmlformats.org/officeDocument/2006/relationships/hyperlink" Target="https://doi.org/10.34740/kaggle/dsv/11495578" TargetMode="External"/><Relationship Id="rId65" Type="http://schemas.openxmlformats.org/officeDocument/2006/relationships/hyperlink" Target="https://www.kaggle.com/datasets/arashnic/faces-age-detection-dataset" TargetMode="External"/><Relationship Id="rId24" Type="http://schemas.openxmlformats.org/officeDocument/2006/relationships/hyperlink" Target="https://doi.org/10.34740/kaggle/dsv/11495578" TargetMode="External"/><Relationship Id="rId68" Type="http://schemas.openxmlformats.org/officeDocument/2006/relationships/hyperlink" Target="https://www.kaggle.com/datasets/arashnic/faces-age-detection-dataset" TargetMode="External"/><Relationship Id="rId23" Type="http://schemas.openxmlformats.org/officeDocument/2006/relationships/hyperlink" Target="https://doi.org/10.34740/kaggle/dsv/11495578" TargetMode="External"/><Relationship Id="rId67" Type="http://schemas.openxmlformats.org/officeDocument/2006/relationships/hyperlink" Target="https://www.kaggle.com/datasets/arashnic/faces-age-detection-dataset" TargetMode="External"/><Relationship Id="rId60" Type="http://schemas.openxmlformats.org/officeDocument/2006/relationships/hyperlink" Target="https://www.kaggle.com/datasets/arashnic/faces-age-detection-dataset" TargetMode="External"/><Relationship Id="rId26" Type="http://schemas.openxmlformats.org/officeDocument/2006/relationships/hyperlink" Target="https://doi.org/10.34740/kaggle/dsv/11495578" TargetMode="External"/><Relationship Id="rId25" Type="http://schemas.openxmlformats.org/officeDocument/2006/relationships/hyperlink" Target="https://doi.org/10.34740/kaggle/dsv/11495578" TargetMode="External"/><Relationship Id="rId69" Type="http://schemas.openxmlformats.org/officeDocument/2006/relationships/hyperlink" Target="https://www.kaggle.com/datasets/arashnic/faces-age-detection-dataset" TargetMode="External"/><Relationship Id="rId28" Type="http://schemas.openxmlformats.org/officeDocument/2006/relationships/hyperlink" Target="https://doi.org/10.34740/kaggle/dsv/11495578" TargetMode="External"/><Relationship Id="rId27" Type="http://schemas.openxmlformats.org/officeDocument/2006/relationships/hyperlink" Target="https://doi.org/10.34740/kaggle/dsv/11495578" TargetMode="External"/><Relationship Id="rId29" Type="http://schemas.openxmlformats.org/officeDocument/2006/relationships/hyperlink" Target="https://doi.org/10.34740/kaggle/dsv/11495578" TargetMode="External"/><Relationship Id="rId51" Type="http://schemas.openxmlformats.org/officeDocument/2006/relationships/hyperlink" Target="https://www.kaggle.com/datasets/samithsachidanandan/human-face-emotions" TargetMode="External"/><Relationship Id="rId50" Type="http://schemas.openxmlformats.org/officeDocument/2006/relationships/hyperlink" Target="https://www.kaggle.com/datasets/samithsachidanandan/human-face-emotions" TargetMode="External"/><Relationship Id="rId53" Type="http://schemas.openxmlformats.org/officeDocument/2006/relationships/hyperlink" Target="https://doi.org/10.34740/kaggle/dsv/11495578" TargetMode="External"/><Relationship Id="rId52" Type="http://schemas.openxmlformats.org/officeDocument/2006/relationships/hyperlink" Target="https://www.kaggle.com/datasets/samithsachidanandan/human-face-emotions" TargetMode="External"/><Relationship Id="rId11" Type="http://schemas.openxmlformats.org/officeDocument/2006/relationships/hyperlink" Target="https://doi.org/10.34740/kaggle/dsv/11495578" TargetMode="External"/><Relationship Id="rId55" Type="http://schemas.openxmlformats.org/officeDocument/2006/relationships/hyperlink" Target="https://www.kaggle.com/datasets/samithsachidanandan/human-face-emotions" TargetMode="External"/><Relationship Id="rId10" Type="http://schemas.openxmlformats.org/officeDocument/2006/relationships/hyperlink" Target="https://doi.org/10.34740/kaggle/dsv/11495578" TargetMode="External"/><Relationship Id="rId54" Type="http://schemas.openxmlformats.org/officeDocument/2006/relationships/hyperlink" Target="https://www.kaggle.com/datasets/samithsachidanandan/human-face-emotions" TargetMode="External"/><Relationship Id="rId13" Type="http://schemas.openxmlformats.org/officeDocument/2006/relationships/hyperlink" Target="https://doi.org/10.34740/kaggle/dsv/11495578" TargetMode="External"/><Relationship Id="rId57" Type="http://schemas.openxmlformats.org/officeDocument/2006/relationships/hyperlink" Target="https://doi.org/10.34740/kaggle/dsv/11495578" TargetMode="External"/><Relationship Id="rId12" Type="http://schemas.openxmlformats.org/officeDocument/2006/relationships/hyperlink" Target="https://doi.org/10.34740/kaggle/dsv/11495578" TargetMode="External"/><Relationship Id="rId56" Type="http://schemas.openxmlformats.org/officeDocument/2006/relationships/hyperlink" Target="https://doi.org/10.34740/kaggle/dsv/11495578" TargetMode="External"/><Relationship Id="rId15" Type="http://schemas.openxmlformats.org/officeDocument/2006/relationships/hyperlink" Target="https://doi.org/10.34740/kaggle/dsv/11495578" TargetMode="External"/><Relationship Id="rId59" Type="http://schemas.openxmlformats.org/officeDocument/2006/relationships/hyperlink" Target="https://www.kaggle.com/datasets/arashnic/faces-age-detection-dataset" TargetMode="External"/><Relationship Id="rId14" Type="http://schemas.openxmlformats.org/officeDocument/2006/relationships/hyperlink" Target="https://doi.org/10.34740/kaggle/dsv/11495578" TargetMode="External"/><Relationship Id="rId58" Type="http://schemas.openxmlformats.org/officeDocument/2006/relationships/hyperlink" Target="https://doi.org/10.34740/kaggle/dsv/11495578" TargetMode="External"/><Relationship Id="rId17" Type="http://schemas.openxmlformats.org/officeDocument/2006/relationships/hyperlink" Target="https://doi.org/10.34740/kaggle/dsv/11495578" TargetMode="External"/><Relationship Id="rId16" Type="http://schemas.openxmlformats.org/officeDocument/2006/relationships/hyperlink" Target="https://doi.org/10.34740/kaggle/dsv/11495578" TargetMode="External"/><Relationship Id="rId19" Type="http://schemas.openxmlformats.org/officeDocument/2006/relationships/hyperlink" Target="https://doi.org/10.34740/kaggle/dsv/11495578" TargetMode="External"/><Relationship Id="rId18" Type="http://schemas.openxmlformats.org/officeDocument/2006/relationships/hyperlink" Target="https://doi.org/10.34740/kaggle/dsv/1149557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4.13"/>
    <col customWidth="1" min="4" max="4" width="25.0"/>
    <col customWidth="1" min="5" max="5" width="22.0"/>
    <col customWidth="1" min="6" max="6" width="28.38"/>
    <col customWidth="1" min="7" max="7" width="19.5"/>
    <col customWidth="1" min="8" max="8" width="25.0"/>
    <col customWidth="1" min="9" max="9" width="2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ht="22.5" customHeight="1">
      <c r="A2" s="4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5" t="s">
        <v>14</v>
      </c>
      <c r="G2" s="5" t="s">
        <v>15</v>
      </c>
      <c r="H2" s="5" t="s">
        <v>16</v>
      </c>
      <c r="I2" s="7" t="s">
        <v>17</v>
      </c>
    </row>
    <row r="3" ht="22.5" customHeight="1">
      <c r="A3" s="4" t="s">
        <v>18</v>
      </c>
      <c r="B3" s="5" t="s">
        <v>19</v>
      </c>
      <c r="C3" s="5" t="s">
        <v>11</v>
      </c>
      <c r="D3" s="5" t="s">
        <v>20</v>
      </c>
      <c r="E3" s="8" t="s">
        <v>21</v>
      </c>
      <c r="F3" s="5" t="s">
        <v>14</v>
      </c>
      <c r="G3" s="5" t="s">
        <v>15</v>
      </c>
      <c r="H3" s="5" t="s">
        <v>16</v>
      </c>
      <c r="I3" s="7" t="s">
        <v>17</v>
      </c>
    </row>
    <row r="4" ht="22.5" customHeight="1">
      <c r="A4" s="4" t="s">
        <v>22</v>
      </c>
      <c r="B4" s="5" t="s">
        <v>19</v>
      </c>
      <c r="C4" s="5" t="s">
        <v>23</v>
      </c>
      <c r="D4" s="5" t="s">
        <v>24</v>
      </c>
      <c r="E4" s="6" t="s">
        <v>25</v>
      </c>
      <c r="F4" s="5" t="s">
        <v>14</v>
      </c>
      <c r="G4" s="5" t="s">
        <v>15</v>
      </c>
      <c r="H4" s="5" t="s">
        <v>16</v>
      </c>
      <c r="I4" s="7" t="s">
        <v>17</v>
      </c>
    </row>
    <row r="5" ht="22.5" customHeight="1">
      <c r="A5" s="4" t="s">
        <v>26</v>
      </c>
      <c r="B5" s="5" t="s">
        <v>19</v>
      </c>
      <c r="C5" s="5" t="s">
        <v>23</v>
      </c>
      <c r="D5" s="5" t="s">
        <v>27</v>
      </c>
      <c r="E5" s="6" t="s">
        <v>28</v>
      </c>
      <c r="F5" s="5" t="s">
        <v>14</v>
      </c>
      <c r="G5" s="5" t="s">
        <v>15</v>
      </c>
      <c r="H5" s="5" t="s">
        <v>16</v>
      </c>
      <c r="I5" s="7" t="s">
        <v>17</v>
      </c>
    </row>
    <row r="6" ht="22.5" customHeight="1">
      <c r="A6" s="4" t="s">
        <v>29</v>
      </c>
      <c r="B6" s="5" t="s">
        <v>10</v>
      </c>
      <c r="C6" s="5" t="s">
        <v>11</v>
      </c>
      <c r="D6" s="5" t="s">
        <v>27</v>
      </c>
      <c r="E6" s="6" t="s">
        <v>30</v>
      </c>
      <c r="F6" s="5" t="s">
        <v>14</v>
      </c>
      <c r="G6" s="5" t="s">
        <v>15</v>
      </c>
      <c r="H6" s="5" t="s">
        <v>16</v>
      </c>
      <c r="I6" s="7" t="s">
        <v>17</v>
      </c>
    </row>
    <row r="7" ht="22.5" customHeight="1">
      <c r="A7" s="4" t="s">
        <v>31</v>
      </c>
      <c r="B7" s="5" t="s">
        <v>10</v>
      </c>
      <c r="C7" s="5" t="s">
        <v>11</v>
      </c>
      <c r="D7" s="5" t="s">
        <v>20</v>
      </c>
      <c r="E7" s="8" t="s">
        <v>32</v>
      </c>
      <c r="F7" s="5" t="s">
        <v>14</v>
      </c>
      <c r="G7" s="5" t="s">
        <v>15</v>
      </c>
      <c r="H7" s="5" t="s">
        <v>16</v>
      </c>
      <c r="I7" s="7" t="s">
        <v>17</v>
      </c>
    </row>
    <row r="8" ht="22.5" customHeight="1">
      <c r="A8" s="4" t="s">
        <v>33</v>
      </c>
      <c r="B8" s="5" t="s">
        <v>10</v>
      </c>
      <c r="C8" s="5" t="s">
        <v>11</v>
      </c>
      <c r="D8" s="5" t="s">
        <v>34</v>
      </c>
      <c r="E8" s="8" t="s">
        <v>35</v>
      </c>
      <c r="F8" s="5" t="s">
        <v>14</v>
      </c>
      <c r="G8" s="5" t="s">
        <v>15</v>
      </c>
      <c r="H8" s="5" t="s">
        <v>16</v>
      </c>
      <c r="I8" s="7" t="s">
        <v>17</v>
      </c>
    </row>
    <row r="9" ht="22.5" customHeight="1">
      <c r="A9" s="4" t="s">
        <v>36</v>
      </c>
      <c r="B9" s="5" t="s">
        <v>10</v>
      </c>
      <c r="C9" s="5" t="s">
        <v>37</v>
      </c>
      <c r="D9" s="5" t="s">
        <v>34</v>
      </c>
      <c r="E9" s="6" t="s">
        <v>38</v>
      </c>
      <c r="F9" s="5" t="s">
        <v>14</v>
      </c>
      <c r="G9" s="5" t="s">
        <v>15</v>
      </c>
      <c r="H9" s="5" t="s">
        <v>16</v>
      </c>
      <c r="I9" s="7" t="s">
        <v>17</v>
      </c>
    </row>
    <row r="10" ht="22.5" customHeight="1">
      <c r="A10" s="4" t="s">
        <v>39</v>
      </c>
      <c r="B10" s="5" t="s">
        <v>19</v>
      </c>
      <c r="C10" s="5" t="s">
        <v>37</v>
      </c>
      <c r="D10" s="5" t="s">
        <v>40</v>
      </c>
      <c r="E10" s="6" t="s">
        <v>41</v>
      </c>
      <c r="F10" s="5" t="s">
        <v>14</v>
      </c>
      <c r="G10" s="5" t="s">
        <v>15</v>
      </c>
      <c r="H10" s="5" t="s">
        <v>16</v>
      </c>
      <c r="I10" s="7" t="s">
        <v>17</v>
      </c>
    </row>
    <row r="11" ht="22.5" customHeight="1">
      <c r="A11" s="4" t="s">
        <v>42</v>
      </c>
      <c r="B11" s="5" t="s">
        <v>10</v>
      </c>
      <c r="C11" s="5" t="s">
        <v>37</v>
      </c>
      <c r="D11" s="5" t="s">
        <v>40</v>
      </c>
      <c r="E11" s="8" t="s">
        <v>43</v>
      </c>
      <c r="F11" s="5" t="s">
        <v>14</v>
      </c>
      <c r="G11" s="5" t="s">
        <v>15</v>
      </c>
      <c r="H11" s="5" t="s">
        <v>16</v>
      </c>
      <c r="I11" s="7" t="s">
        <v>17</v>
      </c>
    </row>
    <row r="12" ht="22.5" customHeight="1">
      <c r="A12" s="4" t="s">
        <v>44</v>
      </c>
      <c r="B12" s="5" t="s">
        <v>10</v>
      </c>
      <c r="C12" s="5" t="s">
        <v>45</v>
      </c>
      <c r="D12" s="5" t="s">
        <v>46</v>
      </c>
      <c r="E12" s="8" t="s">
        <v>47</v>
      </c>
      <c r="F12" s="5" t="s">
        <v>14</v>
      </c>
      <c r="G12" s="5" t="s">
        <v>15</v>
      </c>
      <c r="H12" s="5" t="s">
        <v>16</v>
      </c>
      <c r="I12" s="7" t="s">
        <v>17</v>
      </c>
    </row>
    <row r="13" ht="22.5" customHeight="1">
      <c r="A13" s="4" t="s">
        <v>48</v>
      </c>
      <c r="B13" s="5" t="s">
        <v>19</v>
      </c>
      <c r="C13" s="5" t="s">
        <v>11</v>
      </c>
      <c r="D13" s="5" t="s">
        <v>46</v>
      </c>
      <c r="E13" s="6" t="s">
        <v>49</v>
      </c>
      <c r="F13" s="5" t="s">
        <v>14</v>
      </c>
      <c r="G13" s="5" t="s">
        <v>15</v>
      </c>
      <c r="H13" s="5" t="s">
        <v>16</v>
      </c>
      <c r="I13" s="7" t="s">
        <v>17</v>
      </c>
    </row>
    <row r="14" ht="22.5" customHeight="1">
      <c r="A14" s="4" t="s">
        <v>50</v>
      </c>
      <c r="B14" s="5" t="s">
        <v>10</v>
      </c>
      <c r="C14" s="5" t="s">
        <v>11</v>
      </c>
      <c r="D14" s="5" t="s">
        <v>46</v>
      </c>
      <c r="E14" s="8" t="s">
        <v>51</v>
      </c>
      <c r="F14" s="5" t="s">
        <v>14</v>
      </c>
      <c r="G14" s="5" t="s">
        <v>15</v>
      </c>
      <c r="H14" s="5" t="s">
        <v>16</v>
      </c>
      <c r="I14" s="7" t="s">
        <v>17</v>
      </c>
    </row>
    <row r="15" ht="22.5" customHeight="1">
      <c r="A15" s="4" t="s">
        <v>52</v>
      </c>
      <c r="B15" s="5" t="s">
        <v>19</v>
      </c>
      <c r="C15" s="5" t="s">
        <v>11</v>
      </c>
      <c r="D15" s="5" t="s">
        <v>12</v>
      </c>
      <c r="E15" s="6" t="s">
        <v>53</v>
      </c>
      <c r="F15" s="5" t="s">
        <v>14</v>
      </c>
      <c r="G15" s="5" t="s">
        <v>15</v>
      </c>
      <c r="H15" s="5" t="s">
        <v>16</v>
      </c>
      <c r="I15" s="7" t="s">
        <v>17</v>
      </c>
    </row>
    <row r="16" ht="22.5" customHeight="1">
      <c r="A16" s="4" t="s">
        <v>54</v>
      </c>
      <c r="B16" s="5" t="s">
        <v>19</v>
      </c>
      <c r="C16" s="5" t="s">
        <v>11</v>
      </c>
      <c r="D16" s="5" t="s">
        <v>27</v>
      </c>
      <c r="E16" s="8" t="s">
        <v>55</v>
      </c>
      <c r="F16" s="5" t="s">
        <v>14</v>
      </c>
      <c r="G16" s="5" t="s">
        <v>15</v>
      </c>
      <c r="H16" s="5" t="s">
        <v>16</v>
      </c>
      <c r="I16" s="7" t="s">
        <v>17</v>
      </c>
    </row>
    <row r="17" ht="22.5" customHeight="1">
      <c r="A17" s="4" t="s">
        <v>56</v>
      </c>
      <c r="B17" s="5" t="s">
        <v>19</v>
      </c>
      <c r="C17" s="5" t="s">
        <v>11</v>
      </c>
      <c r="D17" s="5" t="s">
        <v>24</v>
      </c>
      <c r="E17" s="8" t="s">
        <v>57</v>
      </c>
      <c r="F17" s="5" t="s">
        <v>14</v>
      </c>
      <c r="G17" s="5" t="s">
        <v>15</v>
      </c>
      <c r="H17" s="5" t="s">
        <v>16</v>
      </c>
      <c r="I17" s="7" t="s">
        <v>17</v>
      </c>
    </row>
    <row r="18" ht="22.5" customHeight="1">
      <c r="A18" s="4" t="s">
        <v>58</v>
      </c>
      <c r="B18" s="5" t="s">
        <v>10</v>
      </c>
      <c r="C18" s="5" t="s">
        <v>37</v>
      </c>
      <c r="D18" s="5" t="s">
        <v>27</v>
      </c>
      <c r="E18" s="8" t="s">
        <v>59</v>
      </c>
      <c r="F18" s="5" t="s">
        <v>14</v>
      </c>
      <c r="G18" s="5" t="s">
        <v>15</v>
      </c>
      <c r="H18" s="5" t="s">
        <v>16</v>
      </c>
      <c r="I18" s="7" t="s">
        <v>17</v>
      </c>
    </row>
    <row r="19" ht="22.5" customHeight="1">
      <c r="A19" s="4" t="s">
        <v>60</v>
      </c>
      <c r="B19" s="5" t="s">
        <v>10</v>
      </c>
      <c r="C19" s="5" t="s">
        <v>61</v>
      </c>
      <c r="D19" s="5" t="s">
        <v>27</v>
      </c>
      <c r="E19" s="8" t="s">
        <v>62</v>
      </c>
      <c r="F19" s="5" t="s">
        <v>14</v>
      </c>
      <c r="G19" s="5" t="s">
        <v>15</v>
      </c>
      <c r="H19" s="5" t="s">
        <v>16</v>
      </c>
      <c r="I19" s="7" t="s">
        <v>17</v>
      </c>
    </row>
    <row r="20" ht="22.5" customHeight="1">
      <c r="A20" s="4" t="s">
        <v>63</v>
      </c>
      <c r="B20" s="5" t="s">
        <v>10</v>
      </c>
      <c r="C20" s="5" t="s">
        <v>23</v>
      </c>
      <c r="D20" s="5" t="s">
        <v>20</v>
      </c>
      <c r="E20" s="8" t="s">
        <v>64</v>
      </c>
      <c r="F20" s="5" t="s">
        <v>14</v>
      </c>
      <c r="G20" s="5" t="s">
        <v>15</v>
      </c>
      <c r="H20" s="5" t="s">
        <v>16</v>
      </c>
      <c r="I20" s="7" t="s">
        <v>17</v>
      </c>
    </row>
    <row r="21" ht="22.5" customHeight="1">
      <c r="A21" s="4" t="s">
        <v>65</v>
      </c>
      <c r="B21" s="5" t="s">
        <v>19</v>
      </c>
      <c r="C21" s="5" t="s">
        <v>23</v>
      </c>
      <c r="D21" s="5" t="s">
        <v>20</v>
      </c>
      <c r="E21" s="8" t="s">
        <v>66</v>
      </c>
      <c r="F21" s="5" t="s">
        <v>14</v>
      </c>
      <c r="G21" s="5" t="s">
        <v>15</v>
      </c>
      <c r="H21" s="5" t="s">
        <v>16</v>
      </c>
      <c r="I21" s="7" t="s">
        <v>17</v>
      </c>
    </row>
    <row r="22" ht="22.5" customHeight="1">
      <c r="A22" s="4" t="s">
        <v>67</v>
      </c>
      <c r="B22" s="5" t="s">
        <v>10</v>
      </c>
      <c r="C22" s="5" t="s">
        <v>23</v>
      </c>
      <c r="D22" s="5" t="s">
        <v>12</v>
      </c>
      <c r="E22" s="8" t="s">
        <v>68</v>
      </c>
      <c r="F22" s="5" t="s">
        <v>14</v>
      </c>
      <c r="G22" s="5" t="s">
        <v>15</v>
      </c>
      <c r="H22" s="5" t="s">
        <v>16</v>
      </c>
      <c r="I22" s="7" t="s">
        <v>17</v>
      </c>
    </row>
    <row r="23" ht="22.5" customHeight="1">
      <c r="A23" s="4" t="s">
        <v>69</v>
      </c>
      <c r="B23" s="5" t="s">
        <v>19</v>
      </c>
      <c r="C23" s="5" t="s">
        <v>23</v>
      </c>
      <c r="D23" s="5" t="s">
        <v>46</v>
      </c>
      <c r="E23" s="8" t="s">
        <v>70</v>
      </c>
      <c r="F23" s="5" t="s">
        <v>14</v>
      </c>
      <c r="G23" s="5" t="s">
        <v>15</v>
      </c>
      <c r="H23" s="5" t="s">
        <v>16</v>
      </c>
      <c r="I23" s="7" t="s">
        <v>17</v>
      </c>
    </row>
    <row r="24" ht="22.5" customHeight="1">
      <c r="A24" s="4" t="s">
        <v>71</v>
      </c>
      <c r="B24" s="5" t="s">
        <v>10</v>
      </c>
      <c r="C24" s="5" t="s">
        <v>61</v>
      </c>
      <c r="D24" s="5" t="s">
        <v>40</v>
      </c>
      <c r="E24" s="8" t="s">
        <v>72</v>
      </c>
      <c r="F24" s="5" t="s">
        <v>14</v>
      </c>
      <c r="G24" s="5" t="s">
        <v>15</v>
      </c>
      <c r="H24" s="5" t="s">
        <v>16</v>
      </c>
      <c r="I24" s="7" t="s">
        <v>17</v>
      </c>
    </row>
    <row r="25" ht="22.5" customHeight="1">
      <c r="A25" s="4" t="s">
        <v>73</v>
      </c>
      <c r="B25" s="5" t="s">
        <v>19</v>
      </c>
      <c r="C25" s="5" t="s">
        <v>61</v>
      </c>
      <c r="D25" s="5" t="s">
        <v>40</v>
      </c>
      <c r="E25" s="8" t="s">
        <v>74</v>
      </c>
      <c r="F25" s="5" t="s">
        <v>14</v>
      </c>
      <c r="G25" s="5" t="s">
        <v>15</v>
      </c>
      <c r="H25" s="5" t="s">
        <v>16</v>
      </c>
      <c r="I25" s="7" t="s">
        <v>17</v>
      </c>
    </row>
    <row r="26" ht="22.5" customHeight="1">
      <c r="A26" s="4" t="s">
        <v>75</v>
      </c>
      <c r="B26" s="5" t="s">
        <v>10</v>
      </c>
      <c r="C26" s="5" t="s">
        <v>37</v>
      </c>
      <c r="D26" s="5" t="s">
        <v>12</v>
      </c>
      <c r="E26" s="8" t="s">
        <v>76</v>
      </c>
      <c r="F26" s="5" t="s">
        <v>14</v>
      </c>
      <c r="G26" s="5" t="s">
        <v>15</v>
      </c>
      <c r="H26" s="5" t="s">
        <v>16</v>
      </c>
      <c r="I26" s="7" t="s">
        <v>17</v>
      </c>
    </row>
    <row r="27" ht="22.5" customHeight="1">
      <c r="A27" s="4" t="s">
        <v>77</v>
      </c>
      <c r="B27" s="5" t="s">
        <v>19</v>
      </c>
      <c r="C27" s="5" t="s">
        <v>61</v>
      </c>
      <c r="D27" s="5" t="s">
        <v>34</v>
      </c>
      <c r="E27" s="8" t="s">
        <v>78</v>
      </c>
      <c r="F27" s="5" t="s">
        <v>14</v>
      </c>
      <c r="G27" s="5" t="s">
        <v>15</v>
      </c>
      <c r="H27" s="5" t="s">
        <v>16</v>
      </c>
      <c r="I27" s="7" t="s">
        <v>17</v>
      </c>
    </row>
    <row r="28" ht="22.5" customHeight="1">
      <c r="A28" s="4" t="s">
        <v>79</v>
      </c>
      <c r="B28" s="5" t="s">
        <v>10</v>
      </c>
      <c r="C28" s="5" t="s">
        <v>61</v>
      </c>
      <c r="D28" s="5" t="s">
        <v>34</v>
      </c>
      <c r="E28" s="8" t="s">
        <v>80</v>
      </c>
      <c r="F28" s="5" t="s">
        <v>14</v>
      </c>
      <c r="G28" s="5" t="s">
        <v>15</v>
      </c>
      <c r="H28" s="5" t="s">
        <v>16</v>
      </c>
      <c r="I28" s="7" t="s">
        <v>17</v>
      </c>
    </row>
    <row r="29" ht="22.5" customHeight="1">
      <c r="A29" s="4" t="s">
        <v>81</v>
      </c>
      <c r="B29" s="5" t="s">
        <v>19</v>
      </c>
      <c r="C29" s="5" t="s">
        <v>61</v>
      </c>
      <c r="D29" s="5" t="s">
        <v>24</v>
      </c>
      <c r="E29" s="8" t="s">
        <v>82</v>
      </c>
      <c r="F29" s="5" t="s">
        <v>14</v>
      </c>
      <c r="G29" s="5" t="s">
        <v>15</v>
      </c>
      <c r="H29" s="5" t="s">
        <v>16</v>
      </c>
      <c r="I29" s="7" t="s">
        <v>17</v>
      </c>
    </row>
    <row r="30" ht="22.5" customHeight="1">
      <c r="A30" s="4" t="s">
        <v>83</v>
      </c>
      <c r="B30" s="5" t="s">
        <v>10</v>
      </c>
      <c r="C30" s="5" t="s">
        <v>61</v>
      </c>
      <c r="D30" s="5" t="s">
        <v>12</v>
      </c>
      <c r="E30" s="8" t="s">
        <v>84</v>
      </c>
      <c r="F30" s="5" t="s">
        <v>14</v>
      </c>
      <c r="G30" s="5" t="s">
        <v>15</v>
      </c>
      <c r="H30" s="5" t="s">
        <v>16</v>
      </c>
      <c r="I30" s="7" t="s">
        <v>17</v>
      </c>
    </row>
    <row r="31" ht="22.5" customHeight="1">
      <c r="A31" s="4" t="s">
        <v>85</v>
      </c>
      <c r="B31" s="5" t="s">
        <v>10</v>
      </c>
      <c r="C31" s="5" t="s">
        <v>37</v>
      </c>
      <c r="D31" s="5" t="s">
        <v>46</v>
      </c>
      <c r="E31" s="8" t="s">
        <v>86</v>
      </c>
      <c r="F31" s="5" t="s">
        <v>14</v>
      </c>
      <c r="G31" s="5" t="s">
        <v>15</v>
      </c>
      <c r="H31" s="5" t="s">
        <v>16</v>
      </c>
      <c r="I31" s="7" t="s">
        <v>17</v>
      </c>
    </row>
    <row r="32" ht="22.5" customHeight="1">
      <c r="A32" s="4" t="s">
        <v>87</v>
      </c>
      <c r="B32" s="5" t="s">
        <v>19</v>
      </c>
      <c r="C32" s="5" t="s">
        <v>37</v>
      </c>
      <c r="D32" s="5" t="s">
        <v>12</v>
      </c>
      <c r="E32" s="8" t="s">
        <v>88</v>
      </c>
      <c r="F32" s="5" t="s">
        <v>14</v>
      </c>
      <c r="G32" s="5" t="s">
        <v>15</v>
      </c>
      <c r="H32" s="5" t="s">
        <v>16</v>
      </c>
      <c r="I32" s="7" t="s">
        <v>17</v>
      </c>
    </row>
    <row r="33" ht="22.5" customHeight="1">
      <c r="A33" s="4" t="s">
        <v>89</v>
      </c>
      <c r="B33" s="5" t="s">
        <v>10</v>
      </c>
      <c r="C33" s="5" t="s">
        <v>11</v>
      </c>
      <c r="D33" s="5" t="s">
        <v>24</v>
      </c>
      <c r="E33" s="8" t="s">
        <v>90</v>
      </c>
      <c r="F33" s="5" t="s">
        <v>14</v>
      </c>
      <c r="G33" s="5" t="s">
        <v>15</v>
      </c>
      <c r="H33" s="5" t="s">
        <v>16</v>
      </c>
      <c r="I33" s="7" t="s">
        <v>17</v>
      </c>
    </row>
    <row r="34" ht="22.5" customHeight="1">
      <c r="A34" s="4" t="s">
        <v>91</v>
      </c>
      <c r="B34" s="5" t="s">
        <v>19</v>
      </c>
      <c r="C34" s="5" t="s">
        <v>11</v>
      </c>
      <c r="D34" s="5" t="s">
        <v>40</v>
      </c>
      <c r="E34" s="8" t="s">
        <v>92</v>
      </c>
      <c r="F34" s="5" t="s">
        <v>14</v>
      </c>
      <c r="G34" s="5" t="s">
        <v>15</v>
      </c>
      <c r="H34" s="5" t="s">
        <v>16</v>
      </c>
      <c r="I34" s="7" t="s">
        <v>17</v>
      </c>
    </row>
    <row r="35" ht="22.5" customHeight="1">
      <c r="A35" s="4" t="s">
        <v>93</v>
      </c>
      <c r="B35" s="5" t="s">
        <v>10</v>
      </c>
      <c r="C35" s="5" t="s">
        <v>11</v>
      </c>
      <c r="D35" s="5" t="s">
        <v>40</v>
      </c>
      <c r="E35" s="8" t="s">
        <v>94</v>
      </c>
      <c r="F35" s="5" t="s">
        <v>14</v>
      </c>
      <c r="G35" s="5" t="s">
        <v>15</v>
      </c>
      <c r="H35" s="5" t="s">
        <v>16</v>
      </c>
      <c r="I35" s="7" t="s">
        <v>17</v>
      </c>
    </row>
    <row r="36" ht="22.5" customHeight="1">
      <c r="A36" s="4" t="s">
        <v>95</v>
      </c>
      <c r="B36" s="5" t="s">
        <v>19</v>
      </c>
      <c r="C36" s="5" t="s">
        <v>37</v>
      </c>
      <c r="D36" s="5" t="s">
        <v>34</v>
      </c>
      <c r="E36" s="8" t="s">
        <v>96</v>
      </c>
      <c r="F36" s="5" t="s">
        <v>14</v>
      </c>
      <c r="G36" s="5" t="s">
        <v>15</v>
      </c>
      <c r="H36" s="5" t="s">
        <v>16</v>
      </c>
      <c r="I36" s="7" t="s">
        <v>17</v>
      </c>
    </row>
    <row r="37" ht="22.5" customHeight="1">
      <c r="A37" s="4" t="s">
        <v>97</v>
      </c>
      <c r="B37" s="5" t="s">
        <v>10</v>
      </c>
      <c r="C37" s="5" t="s">
        <v>61</v>
      </c>
      <c r="D37" s="5" t="s">
        <v>46</v>
      </c>
      <c r="E37" s="8" t="s">
        <v>98</v>
      </c>
      <c r="F37" s="5" t="s">
        <v>14</v>
      </c>
      <c r="G37" s="5" t="s">
        <v>15</v>
      </c>
      <c r="H37" s="5" t="s">
        <v>16</v>
      </c>
      <c r="I37" s="7" t="s">
        <v>17</v>
      </c>
    </row>
    <row r="38" ht="22.5" customHeight="1">
      <c r="A38" s="4" t="s">
        <v>99</v>
      </c>
      <c r="B38" s="5" t="s">
        <v>19</v>
      </c>
      <c r="C38" s="5" t="s">
        <v>37</v>
      </c>
      <c r="D38" s="5" t="s">
        <v>46</v>
      </c>
      <c r="E38" s="8" t="s">
        <v>100</v>
      </c>
      <c r="F38" s="5" t="s">
        <v>14</v>
      </c>
      <c r="G38" s="5" t="s">
        <v>15</v>
      </c>
      <c r="H38" s="5" t="s">
        <v>16</v>
      </c>
      <c r="I38" s="7" t="s">
        <v>17</v>
      </c>
    </row>
    <row r="39" ht="22.5" customHeight="1">
      <c r="A39" s="4" t="s">
        <v>101</v>
      </c>
      <c r="B39" s="5" t="s">
        <v>19</v>
      </c>
      <c r="C39" s="5" t="s">
        <v>23</v>
      </c>
      <c r="D39" s="5" t="s">
        <v>40</v>
      </c>
      <c r="E39" s="8" t="s">
        <v>102</v>
      </c>
      <c r="F39" s="5" t="s">
        <v>14</v>
      </c>
      <c r="G39" s="5" t="s">
        <v>15</v>
      </c>
      <c r="H39" s="5" t="s">
        <v>16</v>
      </c>
      <c r="I39" s="7" t="s">
        <v>17</v>
      </c>
    </row>
    <row r="40" ht="22.5" customHeight="1">
      <c r="A40" s="4" t="s">
        <v>103</v>
      </c>
      <c r="B40" s="5" t="s">
        <v>19</v>
      </c>
      <c r="C40" s="5" t="s">
        <v>11</v>
      </c>
      <c r="D40" s="5" t="s">
        <v>34</v>
      </c>
      <c r="E40" s="8" t="s">
        <v>104</v>
      </c>
      <c r="F40" s="5" t="s">
        <v>14</v>
      </c>
      <c r="G40" s="5" t="s">
        <v>15</v>
      </c>
      <c r="H40" s="5" t="s">
        <v>16</v>
      </c>
      <c r="I40" s="7" t="s">
        <v>17</v>
      </c>
    </row>
    <row r="41" ht="22.5" customHeight="1">
      <c r="A41" s="4" t="s">
        <v>105</v>
      </c>
      <c r="B41" s="5" t="s">
        <v>19</v>
      </c>
      <c r="C41" s="5" t="s">
        <v>37</v>
      </c>
      <c r="D41" s="5" t="s">
        <v>24</v>
      </c>
      <c r="E41" s="8" t="s">
        <v>106</v>
      </c>
      <c r="F41" s="5" t="s">
        <v>14</v>
      </c>
      <c r="G41" s="5" t="s">
        <v>15</v>
      </c>
      <c r="H41" s="5" t="s">
        <v>16</v>
      </c>
      <c r="I41" s="7" t="s">
        <v>17</v>
      </c>
    </row>
    <row r="42" ht="22.5" customHeight="1">
      <c r="A42" s="4" t="s">
        <v>107</v>
      </c>
      <c r="B42" s="5" t="s">
        <v>10</v>
      </c>
      <c r="C42" s="5" t="s">
        <v>23</v>
      </c>
      <c r="D42" s="5" t="s">
        <v>27</v>
      </c>
      <c r="E42" s="8" t="s">
        <v>108</v>
      </c>
      <c r="F42" s="5" t="s">
        <v>14</v>
      </c>
      <c r="G42" s="5" t="s">
        <v>15</v>
      </c>
      <c r="H42" s="5" t="s">
        <v>16</v>
      </c>
      <c r="I42" s="7" t="s">
        <v>17</v>
      </c>
    </row>
    <row r="43" ht="22.5" customHeight="1">
      <c r="A43" s="4" t="s">
        <v>109</v>
      </c>
      <c r="B43" s="5" t="s">
        <v>10</v>
      </c>
      <c r="C43" s="5" t="s">
        <v>37</v>
      </c>
      <c r="D43" s="5" t="s">
        <v>24</v>
      </c>
      <c r="E43" s="8" t="s">
        <v>110</v>
      </c>
      <c r="F43" s="5" t="s">
        <v>14</v>
      </c>
      <c r="G43" s="5" t="s">
        <v>15</v>
      </c>
      <c r="H43" s="5" t="s">
        <v>16</v>
      </c>
      <c r="I43" s="7" t="s">
        <v>17</v>
      </c>
    </row>
    <row r="44" ht="22.5" customHeight="1">
      <c r="A44" s="4" t="s">
        <v>111</v>
      </c>
      <c r="B44" s="5" t="s">
        <v>19</v>
      </c>
      <c r="C44" s="5" t="s">
        <v>37</v>
      </c>
      <c r="D44" s="5" t="s">
        <v>27</v>
      </c>
      <c r="E44" s="8" t="s">
        <v>112</v>
      </c>
      <c r="F44" s="5" t="s">
        <v>14</v>
      </c>
      <c r="G44" s="5" t="s">
        <v>15</v>
      </c>
      <c r="H44" s="5" t="s">
        <v>16</v>
      </c>
      <c r="I44" s="7" t="s">
        <v>17</v>
      </c>
    </row>
    <row r="45" ht="22.5" customHeight="1">
      <c r="A45" s="4" t="s">
        <v>113</v>
      </c>
      <c r="B45" s="5" t="s">
        <v>10</v>
      </c>
      <c r="C45" s="5" t="s">
        <v>45</v>
      </c>
      <c r="D45" s="5" t="s">
        <v>27</v>
      </c>
      <c r="E45" s="8" t="s">
        <v>114</v>
      </c>
      <c r="F45" s="5" t="s">
        <v>14</v>
      </c>
      <c r="G45" s="5" t="s">
        <v>15</v>
      </c>
      <c r="H45" s="5" t="s">
        <v>16</v>
      </c>
      <c r="I45" s="7" t="s">
        <v>17</v>
      </c>
    </row>
    <row r="46" ht="22.5" customHeight="1">
      <c r="A46" s="4" t="s">
        <v>115</v>
      </c>
      <c r="B46" s="5" t="s">
        <v>10</v>
      </c>
      <c r="C46" s="5" t="s">
        <v>23</v>
      </c>
      <c r="D46" s="5" t="s">
        <v>40</v>
      </c>
      <c r="E46" s="8" t="s">
        <v>116</v>
      </c>
      <c r="F46" s="5" t="s">
        <v>14</v>
      </c>
      <c r="G46" s="5" t="s">
        <v>15</v>
      </c>
      <c r="H46" s="5" t="s">
        <v>16</v>
      </c>
      <c r="I46" s="7" t="s">
        <v>17</v>
      </c>
    </row>
    <row r="47" ht="22.5" customHeight="1">
      <c r="A47" s="4" t="s">
        <v>117</v>
      </c>
      <c r="B47" s="5" t="s">
        <v>19</v>
      </c>
      <c r="C47" s="5" t="s">
        <v>37</v>
      </c>
      <c r="D47" s="5" t="s">
        <v>20</v>
      </c>
      <c r="E47" s="8" t="s">
        <v>118</v>
      </c>
      <c r="F47" s="5" t="s">
        <v>119</v>
      </c>
      <c r="G47" s="5" t="s">
        <v>120</v>
      </c>
      <c r="H47" s="5" t="s">
        <v>121</v>
      </c>
      <c r="I47" s="7" t="s">
        <v>122</v>
      </c>
    </row>
    <row r="48" ht="22.5" customHeight="1">
      <c r="A48" s="4" t="s">
        <v>123</v>
      </c>
      <c r="B48" s="5" t="s">
        <v>10</v>
      </c>
      <c r="C48" s="5" t="s">
        <v>37</v>
      </c>
      <c r="D48" s="5" t="s">
        <v>20</v>
      </c>
      <c r="E48" s="8" t="s">
        <v>124</v>
      </c>
      <c r="F48" s="5" t="s">
        <v>119</v>
      </c>
      <c r="G48" s="5" t="s">
        <v>120</v>
      </c>
      <c r="H48" s="5" t="s">
        <v>121</v>
      </c>
      <c r="I48" s="7" t="s">
        <v>122</v>
      </c>
    </row>
    <row r="49" ht="22.5" customHeight="1">
      <c r="A49" s="4" t="s">
        <v>125</v>
      </c>
      <c r="B49" s="5" t="s">
        <v>10</v>
      </c>
      <c r="C49" s="5" t="s">
        <v>61</v>
      </c>
      <c r="D49" s="5" t="s">
        <v>24</v>
      </c>
      <c r="E49" s="8" t="s">
        <v>126</v>
      </c>
      <c r="F49" s="5" t="s">
        <v>119</v>
      </c>
      <c r="G49" s="5" t="s">
        <v>120</v>
      </c>
      <c r="H49" s="5" t="s">
        <v>121</v>
      </c>
      <c r="I49" s="7" t="s">
        <v>122</v>
      </c>
    </row>
    <row r="50" ht="22.5" customHeight="1">
      <c r="A50" s="4" t="s">
        <v>127</v>
      </c>
      <c r="B50" s="5" t="s">
        <v>19</v>
      </c>
      <c r="C50" s="5" t="s">
        <v>61</v>
      </c>
      <c r="D50" s="5" t="s">
        <v>20</v>
      </c>
      <c r="E50" s="8" t="s">
        <v>128</v>
      </c>
      <c r="F50" s="5" t="s">
        <v>119</v>
      </c>
      <c r="G50" s="5" t="s">
        <v>120</v>
      </c>
      <c r="H50" s="5" t="s">
        <v>121</v>
      </c>
      <c r="I50" s="7" t="s">
        <v>122</v>
      </c>
    </row>
    <row r="51" ht="22.5" customHeight="1">
      <c r="A51" s="4" t="s">
        <v>129</v>
      </c>
      <c r="B51" s="5" t="s">
        <v>19</v>
      </c>
      <c r="C51" s="5" t="s">
        <v>61</v>
      </c>
      <c r="D51" s="5" t="s">
        <v>12</v>
      </c>
      <c r="E51" s="8" t="s">
        <v>130</v>
      </c>
      <c r="F51" s="5" t="s">
        <v>131</v>
      </c>
      <c r="G51" s="5" t="s">
        <v>132</v>
      </c>
      <c r="H51" s="5" t="s">
        <v>16</v>
      </c>
      <c r="I51" s="7" t="s">
        <v>133</v>
      </c>
    </row>
    <row r="52" ht="22.5" customHeight="1">
      <c r="A52" s="4" t="s">
        <v>134</v>
      </c>
      <c r="B52" s="5" t="s">
        <v>19</v>
      </c>
      <c r="C52" s="5" t="s">
        <v>61</v>
      </c>
      <c r="D52" s="5" t="s">
        <v>27</v>
      </c>
      <c r="E52" s="8" t="s">
        <v>135</v>
      </c>
      <c r="F52" s="5" t="s">
        <v>131</v>
      </c>
      <c r="G52" s="5" t="s">
        <v>132</v>
      </c>
      <c r="H52" s="5" t="s">
        <v>16</v>
      </c>
      <c r="I52" s="7" t="s">
        <v>133</v>
      </c>
    </row>
    <row r="53" ht="22.5" customHeight="1">
      <c r="A53" s="4" t="s">
        <v>136</v>
      </c>
      <c r="B53" s="5" t="s">
        <v>19</v>
      </c>
      <c r="C53" s="5" t="s">
        <v>61</v>
      </c>
      <c r="D53" s="5" t="s">
        <v>46</v>
      </c>
      <c r="E53" s="8" t="s">
        <v>137</v>
      </c>
      <c r="F53" s="5" t="s">
        <v>131</v>
      </c>
      <c r="G53" s="5" t="s">
        <v>132</v>
      </c>
      <c r="H53" s="5" t="s">
        <v>16</v>
      </c>
      <c r="I53" s="7" t="s">
        <v>133</v>
      </c>
    </row>
    <row r="54" ht="22.5" customHeight="1">
      <c r="A54" s="4" t="s">
        <v>138</v>
      </c>
      <c r="B54" s="5" t="s">
        <v>10</v>
      </c>
      <c r="C54" s="5" t="s">
        <v>61</v>
      </c>
      <c r="D54" s="5" t="s">
        <v>20</v>
      </c>
      <c r="E54" s="8" t="s">
        <v>139</v>
      </c>
      <c r="F54" s="5" t="s">
        <v>14</v>
      </c>
      <c r="G54" s="5" t="s">
        <v>15</v>
      </c>
      <c r="H54" s="5" t="s">
        <v>16</v>
      </c>
      <c r="I54" s="7" t="s">
        <v>17</v>
      </c>
    </row>
    <row r="55" ht="22.5" customHeight="1">
      <c r="A55" s="4" t="s">
        <v>140</v>
      </c>
      <c r="B55" s="5" t="s">
        <v>19</v>
      </c>
      <c r="C55" s="5" t="s">
        <v>23</v>
      </c>
      <c r="D55" s="5" t="s">
        <v>34</v>
      </c>
      <c r="E55" s="8" t="s">
        <v>141</v>
      </c>
      <c r="F55" s="5" t="s">
        <v>131</v>
      </c>
      <c r="G55" s="5" t="s">
        <v>132</v>
      </c>
      <c r="H55" s="5" t="s">
        <v>16</v>
      </c>
      <c r="I55" s="7" t="s">
        <v>133</v>
      </c>
    </row>
    <row r="56" ht="22.5" customHeight="1">
      <c r="A56" s="4" t="s">
        <v>142</v>
      </c>
      <c r="B56" s="5" t="s">
        <v>19</v>
      </c>
      <c r="C56" s="5" t="s">
        <v>23</v>
      </c>
      <c r="D56" s="5" t="s">
        <v>12</v>
      </c>
      <c r="E56" s="8" t="s">
        <v>143</v>
      </c>
      <c r="F56" s="5" t="s">
        <v>131</v>
      </c>
      <c r="G56" s="5" t="s">
        <v>132</v>
      </c>
      <c r="H56" s="5" t="s">
        <v>16</v>
      </c>
      <c r="I56" s="7" t="s">
        <v>133</v>
      </c>
    </row>
    <row r="57" ht="22.5" customHeight="1">
      <c r="A57" s="4" t="s">
        <v>144</v>
      </c>
      <c r="B57" s="5" t="s">
        <v>10</v>
      </c>
      <c r="C57" s="5" t="s">
        <v>23</v>
      </c>
      <c r="D57" s="5" t="s">
        <v>34</v>
      </c>
      <c r="E57" s="8" t="s">
        <v>145</v>
      </c>
      <c r="F57" s="5" t="s">
        <v>14</v>
      </c>
      <c r="G57" s="5" t="s">
        <v>15</v>
      </c>
      <c r="H57" s="5" t="s">
        <v>16</v>
      </c>
      <c r="I57" s="7" t="s">
        <v>17</v>
      </c>
    </row>
    <row r="58" ht="22.5" customHeight="1">
      <c r="A58" s="4" t="s">
        <v>146</v>
      </c>
      <c r="B58" s="5" t="s">
        <v>10</v>
      </c>
      <c r="C58" s="5" t="s">
        <v>23</v>
      </c>
      <c r="D58" s="5" t="s">
        <v>24</v>
      </c>
      <c r="E58" s="8" t="s">
        <v>147</v>
      </c>
      <c r="F58" s="5" t="s">
        <v>14</v>
      </c>
      <c r="G58" s="5" t="s">
        <v>15</v>
      </c>
      <c r="H58" s="5" t="s">
        <v>16</v>
      </c>
      <c r="I58" s="7" t="s">
        <v>17</v>
      </c>
    </row>
    <row r="59" ht="22.5" customHeight="1">
      <c r="A59" s="4" t="s">
        <v>148</v>
      </c>
      <c r="B59" s="5" t="s">
        <v>10</v>
      </c>
      <c r="C59" s="5" t="s">
        <v>23</v>
      </c>
      <c r="D59" s="5" t="s">
        <v>46</v>
      </c>
      <c r="E59" s="8" t="s">
        <v>149</v>
      </c>
      <c r="F59" s="5" t="s">
        <v>14</v>
      </c>
      <c r="G59" s="5" t="s">
        <v>15</v>
      </c>
      <c r="H59" s="5" t="s">
        <v>16</v>
      </c>
      <c r="I59" s="7" t="s">
        <v>17</v>
      </c>
    </row>
    <row r="60" ht="22.5" customHeight="1">
      <c r="A60" s="4" t="s">
        <v>150</v>
      </c>
      <c r="B60" s="5" t="s">
        <v>10</v>
      </c>
      <c r="C60" s="5" t="s">
        <v>45</v>
      </c>
      <c r="D60" s="5" t="s">
        <v>20</v>
      </c>
      <c r="E60" s="8" t="s">
        <v>151</v>
      </c>
      <c r="F60" s="5" t="s">
        <v>152</v>
      </c>
      <c r="G60" s="5" t="s">
        <v>153</v>
      </c>
      <c r="H60" s="5" t="s">
        <v>121</v>
      </c>
      <c r="I60" s="7" t="s">
        <v>154</v>
      </c>
    </row>
    <row r="61" ht="22.5" customHeight="1">
      <c r="A61" s="4" t="s">
        <v>155</v>
      </c>
      <c r="B61" s="5" t="s">
        <v>10</v>
      </c>
      <c r="C61" s="5" t="s">
        <v>45</v>
      </c>
      <c r="D61" s="5" t="s">
        <v>40</v>
      </c>
      <c r="E61" s="8" t="s">
        <v>156</v>
      </c>
      <c r="F61" s="5" t="s">
        <v>152</v>
      </c>
      <c r="G61" s="5" t="s">
        <v>153</v>
      </c>
      <c r="H61" s="5" t="s">
        <v>121</v>
      </c>
      <c r="I61" s="7" t="s">
        <v>154</v>
      </c>
    </row>
    <row r="62" ht="22.5" customHeight="1">
      <c r="A62" s="4" t="s">
        <v>157</v>
      </c>
      <c r="B62" s="5" t="s">
        <v>10</v>
      </c>
      <c r="C62" s="5" t="s">
        <v>45</v>
      </c>
      <c r="D62" s="5" t="s">
        <v>12</v>
      </c>
      <c r="E62" s="8" t="s">
        <v>158</v>
      </c>
      <c r="F62" s="5" t="s">
        <v>152</v>
      </c>
      <c r="G62" s="5" t="s">
        <v>153</v>
      </c>
      <c r="H62" s="5" t="s">
        <v>121</v>
      </c>
      <c r="I62" s="7" t="s">
        <v>154</v>
      </c>
    </row>
    <row r="63" ht="22.5" customHeight="1">
      <c r="A63" s="4" t="s">
        <v>159</v>
      </c>
      <c r="B63" s="5" t="s">
        <v>10</v>
      </c>
      <c r="C63" s="5" t="s">
        <v>45</v>
      </c>
      <c r="D63" s="5" t="s">
        <v>24</v>
      </c>
      <c r="E63" s="8" t="s">
        <v>160</v>
      </c>
      <c r="F63" s="5" t="s">
        <v>152</v>
      </c>
      <c r="G63" s="5" t="s">
        <v>153</v>
      </c>
      <c r="H63" s="5" t="s">
        <v>121</v>
      </c>
      <c r="I63" s="7" t="s">
        <v>154</v>
      </c>
    </row>
    <row r="64" ht="22.5" customHeight="1">
      <c r="A64" s="4" t="s">
        <v>161</v>
      </c>
      <c r="B64" s="5" t="s">
        <v>10</v>
      </c>
      <c r="C64" s="5" t="s">
        <v>45</v>
      </c>
      <c r="D64" s="5" t="s">
        <v>34</v>
      </c>
      <c r="E64" s="8" t="s">
        <v>162</v>
      </c>
      <c r="F64" s="5" t="s">
        <v>152</v>
      </c>
      <c r="G64" s="5" t="s">
        <v>153</v>
      </c>
      <c r="H64" s="5" t="s">
        <v>121</v>
      </c>
      <c r="I64" s="7" t="s">
        <v>154</v>
      </c>
    </row>
    <row r="65" ht="22.5" customHeight="1">
      <c r="A65" s="4" t="s">
        <v>163</v>
      </c>
      <c r="B65" s="5" t="s">
        <v>19</v>
      </c>
      <c r="C65" s="5" t="s">
        <v>45</v>
      </c>
      <c r="D65" s="5" t="s">
        <v>40</v>
      </c>
      <c r="E65" s="8" t="s">
        <v>164</v>
      </c>
      <c r="F65" s="5" t="s">
        <v>152</v>
      </c>
      <c r="G65" s="5" t="s">
        <v>153</v>
      </c>
      <c r="H65" s="5" t="s">
        <v>121</v>
      </c>
      <c r="I65" s="7" t="s">
        <v>154</v>
      </c>
    </row>
    <row r="66" ht="22.5" customHeight="1">
      <c r="A66" s="4" t="s">
        <v>165</v>
      </c>
      <c r="B66" s="5" t="s">
        <v>19</v>
      </c>
      <c r="C66" s="5" t="s">
        <v>45</v>
      </c>
      <c r="D66" s="5" t="s">
        <v>12</v>
      </c>
      <c r="E66" s="8" t="s">
        <v>166</v>
      </c>
      <c r="F66" s="5" t="s">
        <v>152</v>
      </c>
      <c r="G66" s="5" t="s">
        <v>153</v>
      </c>
      <c r="H66" s="5" t="s">
        <v>121</v>
      </c>
      <c r="I66" s="7" t="s">
        <v>154</v>
      </c>
    </row>
    <row r="67" ht="22.5" customHeight="1">
      <c r="A67" s="4" t="s">
        <v>167</v>
      </c>
      <c r="B67" s="5" t="s">
        <v>19</v>
      </c>
      <c r="C67" s="5" t="s">
        <v>45</v>
      </c>
      <c r="D67" s="5" t="s">
        <v>27</v>
      </c>
      <c r="E67" s="8" t="s">
        <v>168</v>
      </c>
      <c r="F67" s="5" t="s">
        <v>152</v>
      </c>
      <c r="G67" s="5" t="s">
        <v>153</v>
      </c>
      <c r="H67" s="5" t="s">
        <v>121</v>
      </c>
      <c r="I67" s="7" t="s">
        <v>154</v>
      </c>
    </row>
    <row r="68" ht="22.5" customHeight="1">
      <c r="A68" s="4" t="s">
        <v>169</v>
      </c>
      <c r="B68" s="5" t="s">
        <v>19</v>
      </c>
      <c r="C68" s="5" t="s">
        <v>45</v>
      </c>
      <c r="D68" s="5" t="s">
        <v>20</v>
      </c>
      <c r="E68" s="8" t="s">
        <v>170</v>
      </c>
      <c r="F68" s="5" t="s">
        <v>152</v>
      </c>
      <c r="G68" s="5" t="s">
        <v>153</v>
      </c>
      <c r="H68" s="5" t="s">
        <v>121</v>
      </c>
      <c r="I68" s="7" t="s">
        <v>154</v>
      </c>
    </row>
    <row r="69" ht="22.5" customHeight="1">
      <c r="A69" s="4" t="s">
        <v>171</v>
      </c>
      <c r="B69" s="5" t="s">
        <v>19</v>
      </c>
      <c r="C69" s="5" t="s">
        <v>45</v>
      </c>
      <c r="D69" s="5" t="s">
        <v>24</v>
      </c>
      <c r="E69" s="8" t="s">
        <v>172</v>
      </c>
      <c r="F69" s="5" t="s">
        <v>152</v>
      </c>
      <c r="G69" s="5" t="s">
        <v>153</v>
      </c>
      <c r="H69" s="5" t="s">
        <v>121</v>
      </c>
      <c r="I69" s="7" t="s">
        <v>154</v>
      </c>
    </row>
    <row r="70" ht="22.5" customHeight="1">
      <c r="A70" s="4" t="s">
        <v>173</v>
      </c>
      <c r="B70" s="5" t="s">
        <v>19</v>
      </c>
      <c r="C70" s="5" t="s">
        <v>45</v>
      </c>
      <c r="D70" s="5" t="s">
        <v>46</v>
      </c>
      <c r="E70" s="8" t="s">
        <v>174</v>
      </c>
      <c r="F70" s="5" t="s">
        <v>152</v>
      </c>
      <c r="G70" s="5" t="s">
        <v>153</v>
      </c>
      <c r="H70" s="5" t="s">
        <v>121</v>
      </c>
      <c r="I70" s="7" t="s">
        <v>154</v>
      </c>
    </row>
    <row r="71" ht="22.5" customHeight="1">
      <c r="A71" s="4" t="s">
        <v>175</v>
      </c>
      <c r="B71" s="5" t="s">
        <v>19</v>
      </c>
      <c r="C71" s="5" t="s">
        <v>45</v>
      </c>
      <c r="D71" s="5" t="s">
        <v>34</v>
      </c>
      <c r="E71" s="8" t="s">
        <v>176</v>
      </c>
      <c r="F71" s="5" t="s">
        <v>152</v>
      </c>
      <c r="G71" s="5" t="s">
        <v>153</v>
      </c>
      <c r="H71" s="5" t="s">
        <v>121</v>
      </c>
      <c r="I71" s="7" t="s">
        <v>154</v>
      </c>
    </row>
    <row r="72" ht="22.5" customHeight="1">
      <c r="A72" s="9"/>
      <c r="B72" s="10"/>
      <c r="C72" s="10"/>
      <c r="D72" s="10"/>
      <c r="E72" s="11"/>
      <c r="F72" s="12"/>
      <c r="G72" s="12"/>
      <c r="H72" s="12"/>
      <c r="I72" s="12"/>
    </row>
  </sheetData>
  <conditionalFormatting sqref="A2:A71">
    <cfRule type="expression" dxfId="5" priority="1">
      <formula>COUNTIF($A$2:$A$71, A2)&gt;1</formula>
    </cfRule>
  </conditionalFormatting>
  <dataValidations>
    <dataValidation type="list" allowBlank="1" sqref="D2:D72">
      <formula1>"Joy,Sadness,Anger,Fear,Disgust,Surprise,Hate"</formula1>
    </dataValidation>
    <dataValidation type="list" allowBlank="1" sqref="G2:G72">
      <formula1>"Nazmus Sakib,Gary B Huang,Samith Chimminiyan,Möbius"</formula1>
    </dataValidation>
    <dataValidation type="list" allowBlank="1" sqref="F2:F72">
      <formula1>"9 Facial Expressions for YOLO,LFW - Facial Recognition,Human Face Emotions,Faces: Age Detection from Images"</formula1>
    </dataValidation>
    <dataValidation type="list" allowBlank="1" sqref="H2:H72">
      <formula1>"CC0: Public Domain licence,Apache 2.0"</formula1>
    </dataValidation>
    <dataValidation type="list" allowBlank="1" sqref="C2:C72">
      <formula1>"Caucasian White,Black American,South Asian,East Asian,Latino"</formula1>
    </dataValidation>
    <dataValidation type="list" allowBlank="1" sqref="B2:B72">
      <formula1>"Male,Female"</formula1>
    </dataValidation>
    <dataValidation allowBlank="1" showDropDown="1" sqref="E2:E72"/>
    <dataValidation type="list" allowBlank="1" sqref="I2:I72">
      <formula1>"https://doi.org/10.34740/kaggle/dsv/11495578,https://www.kaggle.com/datasets/quadeer15sh/lfw-facial-recognition,https://www.kaggle.com/datasets/samithsachidanandan/human-face-emotions,https://www.kaggle.com/datasets/arashnic/faces-age-detection-dataset"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</hyperlinks>
  <drawing r:id="rId71"/>
  <tableParts count="1">
    <tablePart r:id="rId7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3" max="3" width="14.88"/>
    <col customWidth="1" min="5" max="5" width="27.5"/>
    <col customWidth="1" min="7" max="7" width="17.0"/>
  </cols>
  <sheetData>
    <row r="1" ht="22.5" customHeight="1">
      <c r="A1" s="1" t="s">
        <v>1</v>
      </c>
      <c r="B1" s="1" t="s">
        <v>177</v>
      </c>
      <c r="C1" s="1" t="s">
        <v>2</v>
      </c>
      <c r="D1" s="1" t="s">
        <v>178</v>
      </c>
      <c r="E1" s="1" t="s">
        <v>3</v>
      </c>
      <c r="F1" s="1" t="s">
        <v>179</v>
      </c>
      <c r="G1" s="1" t="s">
        <v>180</v>
      </c>
      <c r="H1" s="1" t="s">
        <v>181</v>
      </c>
    </row>
    <row r="2" ht="22.5" customHeight="1">
      <c r="A2" s="4" t="s">
        <v>10</v>
      </c>
      <c r="B2" s="13">
        <f>COUNTIF('Raw Data'!B:B,"Male")</f>
        <v>35</v>
      </c>
      <c r="C2" s="4" t="s">
        <v>11</v>
      </c>
      <c r="D2" s="13">
        <f>COUNTIF('Raw Data'!C:C,"Caucasian White")</f>
        <v>14</v>
      </c>
      <c r="E2" s="4" t="s">
        <v>40</v>
      </c>
      <c r="F2" s="13">
        <f>COUNTIF('Raw Data'!D:D, "Joy")</f>
        <v>10</v>
      </c>
      <c r="G2" s="4" t="s">
        <v>182</v>
      </c>
      <c r="H2" s="13">
        <f>COUNTIF('Raw Data'!H:H,"CC0: Public Domain Licence")</f>
        <v>16</v>
      </c>
    </row>
    <row r="3" ht="22.5" customHeight="1">
      <c r="A3" s="4" t="s">
        <v>19</v>
      </c>
      <c r="B3" s="13">
        <f>COUNTIF('Raw Data'!B:B,"Female")</f>
        <v>35</v>
      </c>
      <c r="C3" s="4" t="s">
        <v>37</v>
      </c>
      <c r="D3" s="13">
        <f>COUNTIF('Raw Data'!C:C,"Black American")</f>
        <v>14</v>
      </c>
      <c r="E3" s="4" t="s">
        <v>12</v>
      </c>
      <c r="F3" s="13">
        <f>COUNTIF('Raw Data'!D:D, "Sadness")</f>
        <v>10</v>
      </c>
      <c r="G3" s="4" t="s">
        <v>16</v>
      </c>
      <c r="H3" s="13">
        <f>COUNTIF('Raw Data'!H:H,"Apache 2.0")</f>
        <v>54</v>
      </c>
    </row>
    <row r="4" ht="22.5" customHeight="1">
      <c r="C4" s="4" t="s">
        <v>45</v>
      </c>
      <c r="D4" s="13">
        <f>COUNTIF('Raw Data'!C:C,"South Asian")</f>
        <v>14</v>
      </c>
      <c r="E4" s="4" t="s">
        <v>27</v>
      </c>
      <c r="F4" s="13">
        <f>COUNTIF('Raw Data'!D:D, "Anger")</f>
        <v>10</v>
      </c>
    </row>
    <row r="5" ht="22.5" customHeight="1">
      <c r="C5" s="4" t="s">
        <v>23</v>
      </c>
      <c r="D5" s="13">
        <f>COUNTIF('Raw Data'!C:C,"East Asian")</f>
        <v>14</v>
      </c>
      <c r="E5" s="4" t="s">
        <v>20</v>
      </c>
      <c r="F5" s="13">
        <f>COUNTIF('Raw Data'!D:D, "Fear")</f>
        <v>10</v>
      </c>
    </row>
    <row r="6" ht="22.5" customHeight="1">
      <c r="C6" s="4" t="s">
        <v>61</v>
      </c>
      <c r="D6" s="13">
        <f>COUNTIF('Raw Data'!C:C,"Latino")</f>
        <v>14</v>
      </c>
      <c r="E6" s="4" t="s">
        <v>24</v>
      </c>
      <c r="F6" s="13">
        <f>COUNTIF('Raw Data'!D:D, "Disgust")</f>
        <v>10</v>
      </c>
    </row>
    <row r="7" ht="22.5" customHeight="1">
      <c r="E7" s="4" t="s">
        <v>46</v>
      </c>
      <c r="F7" s="13">
        <f>COUNTIF('Raw Data'!D:D, "Surprise")</f>
        <v>10</v>
      </c>
    </row>
    <row r="8" ht="22.5" customHeight="1">
      <c r="E8" s="4" t="s">
        <v>34</v>
      </c>
      <c r="F8" s="13">
        <f>COUNTIF('Raw Data'!D:D, "Hate")</f>
        <v>10</v>
      </c>
    </row>
  </sheetData>
  <drawing r:id="rId1"/>
  <tableParts count="1">
    <tablePart r:id="rId3"/>
  </tableParts>
</worksheet>
</file>